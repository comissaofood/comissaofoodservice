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331EC6FE-D2CD-4C53-A16D-20E60B68D08F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10" i="1" l="1"/>
  <c r="L10711" i="1"/>
  <c r="L10712" i="1"/>
  <c r="L10713" i="1"/>
  <c r="L10714" i="1"/>
  <c r="L10715" i="1"/>
  <c r="L10716" i="1"/>
  <c r="L10717" i="1"/>
  <c r="L10718" i="1"/>
  <c r="L10719" i="1"/>
  <c r="L10709" i="1"/>
  <c r="L10708" i="1" l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J10715" i="1"/>
  <c r="J10716" i="1"/>
  <c r="J10717" i="1"/>
  <c r="K10717" i="1" s="1"/>
  <c r="J10718" i="1"/>
  <c r="J10719" i="1"/>
  <c r="J10709" i="1"/>
  <c r="K10718" i="1"/>
  <c r="K10719" i="1"/>
  <c r="K10712" i="1"/>
  <c r="K10714" i="1"/>
  <c r="K10715" i="1"/>
  <c r="K10716" i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K10709" i="1" l="1"/>
</calcChain>
</file>

<file path=xl/sharedStrings.xml><?xml version="1.0" encoding="utf-8"?>
<sst xmlns="http://schemas.openxmlformats.org/spreadsheetml/2006/main" count="85635" uniqueCount="1345">
  <si>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</si>
  <si>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</si>
  <si>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</si>
  <si>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</si>
  <si>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</si>
  <si>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</si>
  <si>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</si>
  <si>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</si>
  <si>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</si>
  <si>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</si>
  <si>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</si>
  <si>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</si>
  <si>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</si>
  <si>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</si>
  <si>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</si>
  <si>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</si>
  <si>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</si>
  <si>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</si>
  <si>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</si>
  <si>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</si>
  <si>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</si>
  <si>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</si>
  <si>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</si>
  <si>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</si>
  <si>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</si>
  <si>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</si>
  <si>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</si>
  <si>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</si>
  <si>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</si>
  <si>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</si>
  <si>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</si>
  <si>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</si>
  <si>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</si>
  <si>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</si>
  <si>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</si>
  <si>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</si>
  <si>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</si>
  <si>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</si>
  <si>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</si>
  <si>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</si>
  <si>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</si>
  <si>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</si>
  <si>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</si>
  <si>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</si>
  <si>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</si>
  <si>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</si>
  <si>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</si>
  <si>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</si>
  <si>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</si>
  <si>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</si>
  <si>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</si>
  <si>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</si>
  <si>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</si>
  <si>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</si>
  <si>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</si>
  <si>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</si>
  <si>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</si>
  <si>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</si>
  <si>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</si>
  <si>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</si>
  <si>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</si>
  <si>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</si>
  <si>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</si>
  <si>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</si>
  <si>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</si>
  <si>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</si>
  <si>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</si>
  <si>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</si>
  <si>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</si>
  <si>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</si>
  <si>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</si>
  <si>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</si>
  <si>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</si>
  <si>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</si>
  <si>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</si>
  <si>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</si>
  <si>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</si>
  <si>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</si>
  <si>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</si>
  <si>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</si>
  <si>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</si>
  <si>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</si>
  <si>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</si>
  <si>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</si>
  <si>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</si>
  <si>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</si>
  <si>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</si>
  <si>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</si>
  <si>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</si>
  <si>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</si>
  <si>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</si>
  <si>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</si>
  <si>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</si>
  <si>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</si>
  <si>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</si>
  <si>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</si>
  <si>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</si>
  <si>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</si>
  <si>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</si>
  <si>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</si>
  <si>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</si>
  <si>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</si>
  <si>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</si>
  <si>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</si>
  <si>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</si>
  <si>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</si>
  <si>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</si>
  <si>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</si>
  <si>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</si>
  <si>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</si>
  <si>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</si>
  <si>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</si>
  <si>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</si>
  <si>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</si>
  <si>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</si>
  <si>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</si>
  <si>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</si>
  <si>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</si>
  <si>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</si>
  <si>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</si>
  <si>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</si>
  <si>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</si>
  <si>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</si>
  <si>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</si>
  <si>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</si>
  <si>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</si>
  <si>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</si>
  <si>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</si>
  <si>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</si>
  <si>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</si>
  <si>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</si>
  <si>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</si>
  <si>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</si>
  <si>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</si>
  <si>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</si>
  <si>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</si>
  <si>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</si>
  <si>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</si>
  <si>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</si>
  <si>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</si>
  <si>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</si>
  <si>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</si>
  <si>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</si>
  <si>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</si>
  <si>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</si>
  <si>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</si>
  <si>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</si>
  <si>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</si>
  <si>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</si>
  <si>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</si>
  <si>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</si>
  <si>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</si>
  <si>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</si>
  <si>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</si>
  <si>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</si>
  <si>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</si>
  <si>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</si>
  <si>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</si>
  <si>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</si>
  <si>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</si>
  <si>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</si>
  <si>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</si>
  <si>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</si>
  <si>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</si>
  <si>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</si>
  <si>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</si>
  <si>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</si>
  <si>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</si>
  <si>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</si>
  <si>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</si>
  <si>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</si>
  <si>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</si>
  <si>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</si>
  <si>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</si>
  <si>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</si>
  <si>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</si>
  <si>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</si>
  <si>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</si>
  <si>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</si>
  <si>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</si>
  <si>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</si>
  <si>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</si>
  <si>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</si>
  <si>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</si>
  <si>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</si>
  <si>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</si>
  <si>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</si>
  <si>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</si>
  <si>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</si>
  <si>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</si>
  <si>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</si>
  <si>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</si>
  <si>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</si>
  <si>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</si>
  <si>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</si>
  <si>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</si>
  <si>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</si>
  <si>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</si>
  <si>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</si>
  <si>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</si>
  <si>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</si>
  <si>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</si>
  <si>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</si>
  <si>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</si>
  <si>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</si>
  <si>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</si>
  <si>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</si>
  <si>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</si>
  <si>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</si>
  <si>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</si>
  <si>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</si>
  <si>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</si>
  <si>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</si>
  <si>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</si>
  <si>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</si>
  <si>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</si>
  <si>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</si>
  <si>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</si>
  <si>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</si>
  <si>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</si>
  <si>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</si>
  <si>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</si>
  <si>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</si>
  <si>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</si>
  <si>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</si>
  <si>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</si>
  <si>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</si>
  <si>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</si>
  <si>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</si>
  <si>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</si>
  <si>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</si>
  <si>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</si>
  <si>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</si>
  <si>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</si>
  <si>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</si>
  <si>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</si>
  <si>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</si>
  <si>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</si>
  <si>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</si>
  <si>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</si>
  <si>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</si>
  <si>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</si>
  <si>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</si>
  <si>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</si>
  <si>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</si>
  <si>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</si>
  <si>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</si>
  <si>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</si>
  <si>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</si>
  <si>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</si>
  <si>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</si>
  <si>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</si>
  <si>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</si>
  <si>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</si>
  <si>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</si>
  <si>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</si>
  <si>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</si>
  <si>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</si>
  <si>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</si>
  <si>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</si>
  <si>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</si>
  <si>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</si>
  <si>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</si>
  <si>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</si>
  <si>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</si>
  <si>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</si>
  <si>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</si>
  <si>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</si>
  <si>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</si>
  <si>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</si>
  <si>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</si>
  <si>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</si>
  <si>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</si>
  <si>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</si>
  <si>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</si>
  <si>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</si>
  <si>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</si>
  <si>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</si>
  <si>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</si>
  <si>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</si>
  <si>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</si>
  <si>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</si>
  <si>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</si>
  <si>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</si>
  <si>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</si>
  <si>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</si>
  <si>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</si>
  <si>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</si>
  <si>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</si>
  <si>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</si>
  <si>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</si>
  <si>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</si>
  <si>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</si>
  <si>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</si>
  <si>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</si>
  <si>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</si>
  <si>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</si>
  <si>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</si>
  <si>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</si>
  <si>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</si>
  <si>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</si>
  <si>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</si>
  <si>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</si>
  <si>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</si>
  <si>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</si>
  <si>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</si>
  <si>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</si>
  <si>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</si>
  <si>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</si>
  <si>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</si>
  <si>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</si>
  <si>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</si>
  <si>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</si>
  <si>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</si>
  <si>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</si>
  <si>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</si>
  <si>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</si>
  <si>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</si>
  <si>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</si>
  <si>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</si>
  <si>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</si>
  <si>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</si>
  <si>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</si>
  <si>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</si>
  <si>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</si>
  <si>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</si>
  <si>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</si>
  <si>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</si>
  <si>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</si>
  <si>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</si>
  <si>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</si>
  <si>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</si>
  <si>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</si>
  <si>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</si>
  <si>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</si>
  <si>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</si>
  <si>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</si>
  <si>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</si>
  <si>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</si>
  <si>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</si>
  <si>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</si>
  <si>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</si>
  <si>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</si>
  <si>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</si>
  <si>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</si>
  <si>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</si>
  <si>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</si>
  <si>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</si>
  <si>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</si>
  <si>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</si>
  <si>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</si>
  <si>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</si>
  <si>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</si>
  <si>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</si>
  <si>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</si>
  <si>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</si>
  <si>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</si>
  <si>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</si>
  <si>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</si>
  <si>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</si>
  <si>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</si>
  <si>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</si>
  <si>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</si>
  <si>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</si>
  <si>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</si>
  <si>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</si>
  <si>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</si>
  <si>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</si>
  <si>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</si>
  <si>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</si>
  <si>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</si>
  <si>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</si>
  <si>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</si>
  <si>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</si>
  <si>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</si>
  <si>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</si>
  <si>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</si>
  <si>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</si>
  <si>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</si>
  <si>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</si>
  <si>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</si>
  <si>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</si>
  <si>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</si>
  <si>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</si>
  <si>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</si>
  <si>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</si>
  <si>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</si>
  <si>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</si>
  <si>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</si>
  <si>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</si>
  <si>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</si>
  <si>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</si>
  <si>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</si>
  <si>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</si>
  <si>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</si>
  <si>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</si>
  <si>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</si>
  <si>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</si>
  <si>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</si>
  <si>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</si>
  <si>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</si>
  <si>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</si>
  <si>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</si>
  <si>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</si>
  <si>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</si>
  <si>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</si>
  <si>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</si>
  <si>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</si>
  <si>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</si>
  <si>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</si>
  <si>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</si>
  <si>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</si>
  <si>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</si>
  <si>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</si>
  <si>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</si>
  <si>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</si>
  <si>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</si>
  <si>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</si>
  <si>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</si>
  <si>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</si>
  <si>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</si>
  <si>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</si>
  <si>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</si>
  <si>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</si>
  <si>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</si>
  <si>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</si>
  <si>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</si>
  <si>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</si>
  <si>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</si>
  <si>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</si>
  <si>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</si>
  <si>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</si>
  <si>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</si>
  <si>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</si>
  <si>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</si>
  <si>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</si>
  <si>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</si>
  <si>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</si>
  <si>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</si>
  <si>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</si>
  <si>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</si>
  <si>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</si>
  <si>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</si>
  <si>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</si>
  <si>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</si>
  <si>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</si>
  <si>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</si>
  <si>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</si>
  <si>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</si>
  <si>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</si>
  <si>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</si>
  <si>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</si>
  <si>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</si>
  <si>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</si>
  <si>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</si>
  <si>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</si>
  <si>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</si>
  <si>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</si>
  <si>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</si>
  <si>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</si>
  <si>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</si>
  <si>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</si>
  <si>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</si>
  <si>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</si>
  <si>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</si>
  <si>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</si>
  <si>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</si>
  <si>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</si>
  <si>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</si>
  <si>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</si>
  <si>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</si>
  <si>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</si>
  <si>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</si>
  <si>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</si>
  <si>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</si>
  <si>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</si>
  <si>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</si>
  <si>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</si>
  <si>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</si>
  <si>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</si>
  <si>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</si>
  <si>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</si>
  <si>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</si>
  <si>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</si>
  <si>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</si>
  <si>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</si>
  <si>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</si>
  <si>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</si>
  <si>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</si>
  <si>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</si>
  <si>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</si>
  <si>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</si>
  <si>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</si>
  <si>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</si>
  <si>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</si>
  <si>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</si>
  <si>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</si>
  <si>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</si>
  <si>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</si>
  <si>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</si>
  <si>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</si>
  <si>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</si>
  <si>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</si>
  <si>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</si>
  <si>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</si>
  <si>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</si>
  <si>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</si>
  <si>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</si>
  <si>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</si>
  <si>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</si>
  <si>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</si>
  <si>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</si>
  <si>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</si>
  <si>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</si>
  <si>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</si>
  <si>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</si>
  <si>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</si>
  <si>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</si>
  <si>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</si>
  <si>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</si>
  <si>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</si>
  <si>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</si>
  <si>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</si>
  <si>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</si>
  <si>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</si>
  <si>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</si>
  <si>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</si>
  <si>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</si>
  <si>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</si>
  <si>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</si>
  <si>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</si>
  <si>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</si>
  <si>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</si>
  <si>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</si>
  <si>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</si>
  <si>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</si>
  <si>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</si>
  <si>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</si>
  <si>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</si>
  <si>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</si>
  <si>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</si>
  <si>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</si>
  <si>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</si>
  <si>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</si>
  <si>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</si>
  <si>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</si>
  <si>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</si>
  <si>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</si>
  <si>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</si>
  <si>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</si>
  <si>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</si>
  <si>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</si>
  <si>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</si>
  <si>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</si>
  <si>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</si>
  <si>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</si>
  <si>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</si>
  <si>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</si>
  <si>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</si>
  <si>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</si>
  <si>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</si>
  <si>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</si>
  <si>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</si>
  <si>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</si>
  <si>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</si>
  <si>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</si>
  <si>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</si>
  <si>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</si>
  <si>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</si>
  <si>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</si>
  <si>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</si>
  <si>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</si>
  <si>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</si>
  <si>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</si>
  <si>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</si>
  <si>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</si>
  <si>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</si>
  <si>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</si>
  <si>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</si>
  <si>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</si>
  <si>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</si>
  <si>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</si>
  <si>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</si>
  <si>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</si>
  <si>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</si>
  <si>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</si>
  <si>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</si>
  <si>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</si>
  <si>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</si>
  <si>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</si>
  <si>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</si>
  <si>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</si>
  <si>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</si>
  <si>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</si>
  <si>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</si>
  <si>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</si>
  <si>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</si>
  <si>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</si>
  <si>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</si>
  <si>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</si>
  <si>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</si>
  <si>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</si>
  <si>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</si>
  <si>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</si>
  <si>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</si>
  <si>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</si>
  <si>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</si>
  <si>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</si>
  <si>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</si>
  <si>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</si>
  <si>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</si>
  <si>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</si>
  <si>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</si>
  <si>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</si>
  <si>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</si>
  <si>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</si>
  <si>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</si>
  <si>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</si>
  <si>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</si>
  <si>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</si>
  <si>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</si>
  <si>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</si>
  <si>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</si>
  <si>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</si>
  <si>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</si>
  <si>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</si>
  <si>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</si>
  <si>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</si>
  <si>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</si>
  <si>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</si>
  <si>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</si>
  <si>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</si>
  <si>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</si>
  <si>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</si>
  <si>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</si>
  <si>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</si>
  <si>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</si>
  <si>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</si>
  <si>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</si>
  <si>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</si>
  <si>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</si>
  <si>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</si>
  <si>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</si>
  <si>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</si>
  <si>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</si>
  <si>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</si>
  <si>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</si>
  <si>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</si>
  <si>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</si>
  <si>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</si>
  <si>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</si>
  <si>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</si>
  <si>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</si>
  <si>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</si>
  <si>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</si>
  <si>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</si>
  <si>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</si>
  <si>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</si>
  <si>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</si>
  <si>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</si>
  <si>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</si>
  <si>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</si>
  <si>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</si>
  <si>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</si>
  <si>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</si>
  <si>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</si>
  <si>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</si>
  <si>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</si>
  <si>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</si>
  <si>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</si>
  <si>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</si>
  <si>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</si>
  <si>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</si>
  <si>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</si>
  <si>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</si>
  <si>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</si>
  <si>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</si>
  <si>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</si>
  <si>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</si>
  <si>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</si>
  <si>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</si>
  <si>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</si>
  <si>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</si>
  <si>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</si>
  <si>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</si>
  <si>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</si>
  <si>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</si>
  <si>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</si>
  <si>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</si>
  <si>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</si>
  <si>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</si>
  <si>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</si>
  <si>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</si>
  <si>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</si>
  <si>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</si>
  <si>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</si>
  <si>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</si>
  <si>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</si>
  <si>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</si>
  <si>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</si>
  <si>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</si>
  <si>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</si>
  <si>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</si>
  <si>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</si>
  <si>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</si>
  <si>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</si>
  <si>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</si>
  <si>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</si>
  <si>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</si>
  <si>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</si>
  <si>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</si>
  <si>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</si>
  <si>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</si>
  <si>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</si>
  <si>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</si>
  <si>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</si>
  <si>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</si>
  <si>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</si>
  <si>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</si>
  <si>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</si>
  <si>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</si>
  <si>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</si>
  <si>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</si>
  <si>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</si>
  <si>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</si>
  <si>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</si>
  <si>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</si>
  <si>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</si>
  <si>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</si>
  <si>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</si>
  <si>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</si>
  <si>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</si>
  <si>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</si>
  <si>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</si>
  <si>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</si>
  <si>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</si>
  <si>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</si>
  <si>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</si>
  <si>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</si>
  <si>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</si>
  <si>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</si>
  <si>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</si>
  <si>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</si>
  <si>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</si>
  <si>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</si>
  <si>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</si>
  <si>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</si>
  <si>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</si>
  <si>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</si>
  <si>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</si>
  <si>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</si>
  <si>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</si>
  <si>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</si>
  <si>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</si>
  <si>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</si>
  <si>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</si>
  <si>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</si>
  <si>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</si>
  <si>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</si>
  <si>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</si>
  <si>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</si>
  <si>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</si>
  <si>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</si>
  <si>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</si>
  <si>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</si>
  <si>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</si>
  <si>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</si>
  <si>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</si>
  <si>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</si>
  <si>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</si>
  <si>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</si>
  <si>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</si>
  <si>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</si>
  <si>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</si>
  <si>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</si>
  <si>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</si>
  <si>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</si>
  <si>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</si>
  <si>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</si>
  <si>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</si>
  <si>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</si>
  <si>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</si>
  <si>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</si>
  <si>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</si>
  <si>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</si>
  <si>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</si>
  <si>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</si>
  <si>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</si>
  <si>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</si>
  <si>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</si>
  <si>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</si>
  <si>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</si>
  <si>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</si>
  <si>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</si>
  <si>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</si>
  <si>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</si>
  <si>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</si>
  <si>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</si>
  <si>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</si>
  <si>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</si>
  <si>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</si>
  <si>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</si>
  <si>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</si>
  <si>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</si>
  <si>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</si>
  <si>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</si>
  <si>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</si>
  <si>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</si>
  <si>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</si>
  <si>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</si>
  <si>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</si>
  <si>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</si>
  <si>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</si>
  <si>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</si>
  <si>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</si>
  <si>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</si>
  <si>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</si>
  <si>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</si>
  <si>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</si>
  <si>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</si>
  <si>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</si>
  <si>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</si>
  <si>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</si>
  <si>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</si>
  <si>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</si>
  <si>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</si>
  <si>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</si>
  <si>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</si>
  <si>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</si>
  <si>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</si>
  <si>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</si>
  <si>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</si>
  <si>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</si>
  <si>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</si>
  <si>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</si>
  <si>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</si>
  <si>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</si>
  <si>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</si>
  <si>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</si>
  <si>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</si>
  <si>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</si>
  <si>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</si>
  <si>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</si>
  <si>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</si>
  <si>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</si>
  <si>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</si>
  <si>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</si>
  <si>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</si>
  <si>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</si>
  <si>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</si>
  <si>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</si>
  <si>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</si>
  <si>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</si>
  <si>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</si>
  <si>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</si>
  <si>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</si>
  <si>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</si>
  <si>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</si>
  <si>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</si>
  <si>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</si>
  <si>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</si>
  <si>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</si>
  <si>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</si>
  <si>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</si>
  <si>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</si>
  <si>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</si>
  <si>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</si>
  <si>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</si>
  <si>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</si>
  <si>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</si>
  <si>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</si>
  <si>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</si>
  <si>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</si>
  <si>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</si>
  <si>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</si>
  <si>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</si>
  <si>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</si>
  <si>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</si>
  <si>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</si>
  <si>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</si>
  <si>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</si>
  <si>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</si>
  <si>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</si>
  <si>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</si>
  <si>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</si>
  <si>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</si>
  <si>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</si>
  <si>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</si>
  <si>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</si>
  <si>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</si>
  <si>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</si>
  <si>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</si>
  <si>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</si>
  <si>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</si>
  <si>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</si>
  <si>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</si>
  <si>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</si>
  <si>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</si>
  <si>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</si>
  <si>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</si>
  <si>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</si>
  <si>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</si>
  <si>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</si>
  <si>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</si>
  <si>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</si>
  <si>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</si>
  <si>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</si>
  <si>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</si>
  <si>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</si>
  <si>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</si>
  <si>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</si>
  <si>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</si>
  <si>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</si>
  <si>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</si>
  <si>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</si>
  <si>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</si>
  <si>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</si>
  <si>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</si>
  <si>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</si>
  <si>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</si>
  <si>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</si>
  <si>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</si>
  <si>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</si>
  <si>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</si>
  <si>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</si>
  <si>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</si>
  <si>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</si>
  <si>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</si>
  <si>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</si>
  <si>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</si>
  <si>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</si>
  <si>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</si>
  <si>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</si>
  <si>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</si>
  <si>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</si>
  <si>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</si>
  <si>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</si>
  <si>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</si>
  <si>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</si>
  <si>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</si>
  <si>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</si>
  <si>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</si>
  <si>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</si>
  <si>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</si>
  <si>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</si>
  <si>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</si>
  <si>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</si>
  <si>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</si>
  <si>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</si>
  <si>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</si>
  <si>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</si>
  <si>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</si>
  <si>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</si>
  <si>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</si>
  <si>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</si>
  <si>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</si>
  <si>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</si>
  <si>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</si>
  <si>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</si>
  <si>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</si>
  <si>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</si>
  <si>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</si>
  <si>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</si>
  <si>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</si>
  <si>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</si>
  <si>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</si>
  <si>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</si>
  <si>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</si>
  <si>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</si>
  <si>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</si>
  <si>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</si>
  <si>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</si>
  <si>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</si>
  <si>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</si>
  <si>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</si>
  <si>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</si>
  <si>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</si>
  <si>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</si>
  <si>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</si>
  <si>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</si>
  <si>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</si>
  <si>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</si>
  <si>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</si>
  <si>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</si>
  <si>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</si>
  <si>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</si>
  <si>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</si>
  <si>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</si>
  <si>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</si>
  <si>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</si>
  <si>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</si>
  <si>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</si>
  <si>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</si>
  <si>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</si>
  <si>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</si>
  <si>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</si>
  <si>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</si>
  <si>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</si>
  <si>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</si>
  <si>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</si>
  <si>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</si>
  <si>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</si>
  <si>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</si>
  <si>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</si>
  <si>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</si>
  <si>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</si>
  <si>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</si>
  <si>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</si>
  <si>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</si>
  <si>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</si>
  <si>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</si>
  <si>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</si>
  <si>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</si>
  <si>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</si>
  <si>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</si>
  <si>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</si>
  <si>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</si>
  <si>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</si>
  <si>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</si>
  <si>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</si>
  <si>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</si>
  <si>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</si>
  <si>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</si>
  <si>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</si>
  <si>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</si>
  <si>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</si>
  <si>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</si>
  <si>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</si>
  <si>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</si>
  <si>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</si>
  <si>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</si>
  <si>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</si>
  <si>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</si>
  <si>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</si>
  <si>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</si>
  <si>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</si>
  <si>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</si>
  <si>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</si>
  <si>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</si>
  <si>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</si>
  <si>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</si>
  <si>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</si>
  <si>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</si>
  <si>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</si>
  <si>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</si>
  <si>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</si>
  <si>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</si>
  <si>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</si>
  <si>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</si>
  <si>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</si>
  <si>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</si>
  <si>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</si>
  <si>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</si>
  <si>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</si>
  <si>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</si>
  <si>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</si>
  <si>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</si>
  <si>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</si>
  <si>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</si>
  <si>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</si>
  <si>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</si>
  <si>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</si>
  <si>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</si>
  <si>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</si>
  <si>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</si>
  <si>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</si>
  <si>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</si>
  <si>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</si>
  <si>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</si>
  <si>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</si>
  <si>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</si>
  <si>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</si>
  <si>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</si>
  <si>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</si>
  <si>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</si>
  <si>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</si>
  <si>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</si>
  <si>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</si>
  <si>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</si>
  <si>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</si>
  <si>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</si>
  <si>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</si>
  <si>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</si>
  <si>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</si>
  <si>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</si>
  <si>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</si>
  <si>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</si>
  <si>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</si>
  <si>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</si>
  <si>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</si>
  <si>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</si>
  <si>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</si>
  <si>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</si>
  <si>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</si>
  <si>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</si>
  <si>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</si>
  <si>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</si>
  <si>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</si>
  <si>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</si>
  <si>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</si>
  <si>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</si>
  <si>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</si>
  <si>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</si>
  <si>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</si>
  <si>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</si>
  <si>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</si>
  <si>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</si>
  <si>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</si>
  <si>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</si>
  <si>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</si>
  <si>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</si>
  <si>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</si>
  <si>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</si>
  <si>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</si>
  <si>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</si>
  <si>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</si>
  <si>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</si>
  <si>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</si>
  <si>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</si>
  <si>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</si>
  <si>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</si>
  <si>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</si>
  <si>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</si>
  <si>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</si>
  <si>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</si>
  <si>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</si>
  <si>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</si>
  <si>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</si>
  <si>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</si>
  <si>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</si>
  <si>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</si>
  <si>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</si>
  <si>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</si>
  <si>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</si>
  <si>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</si>
  <si>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</si>
  <si>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</si>
  <si>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</si>
  <si>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</si>
  <si>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</si>
  <si>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</si>
  <si>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</si>
  <si>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</si>
  <si>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</si>
  <si>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</si>
  <si>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</si>
  <si>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</si>
  <si>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</si>
  <si>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</si>
  <si>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</si>
  <si>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</si>
  <si>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</si>
  <si>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</si>
  <si>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</si>
  <si>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</si>
  <si>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</si>
  <si>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</si>
  <si>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</si>
  <si>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</si>
  <si>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</si>
  <si>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</si>
  <si>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</si>
  <si>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</si>
  <si>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</si>
  <si>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</si>
  <si>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</si>
  <si>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</si>
  <si>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</si>
  <si>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</si>
  <si>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</si>
  <si>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</si>
  <si>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</si>
  <si>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</si>
  <si>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</si>
  <si>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</si>
  <si>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</si>
  <si>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</si>
  <si>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</si>
  <si>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</si>
  <si>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</si>
  <si>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</si>
  <si>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</si>
  <si>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</si>
  <si>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</si>
  <si>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</si>
  <si>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</si>
  <si>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</si>
  <si>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</si>
  <si>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</si>
  <si>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</si>
  <si>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</si>
  <si>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</si>
  <si>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</si>
  <si>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</si>
  <si>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</si>
  <si>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</si>
  <si>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</si>
  <si>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</si>
  <si>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</si>
  <si>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</si>
  <si>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</si>
  <si>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</si>
  <si>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</si>
  <si>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</si>
  <si>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</si>
  <si>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</si>
  <si>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</si>
  <si>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</si>
  <si>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</si>
  <si>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</si>
  <si>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</si>
  <si>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</si>
  <si>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</si>
  <si>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</si>
  <si>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</si>
  <si>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</si>
  <si>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</si>
  <si>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</si>
  <si>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</si>
  <si>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</si>
  <si>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</si>
  <si>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</si>
  <si>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</si>
  <si>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</si>
  <si>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</si>
  <si>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</si>
  <si>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</si>
  <si>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</si>
  <si>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</si>
  <si>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</si>
  <si>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</si>
  <si>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</si>
  <si>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</si>
  <si>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</si>
  <si>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</si>
  <si>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</si>
  <si>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</si>
  <si>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</si>
  <si>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</si>
  <si>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</si>
  <si>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</si>
  <si>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</si>
  <si>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</si>
  <si>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</si>
  <si>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</si>
  <si>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</si>
  <si>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</si>
  <si>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</si>
  <si>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</si>
  <si>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</si>
  <si>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</si>
  <si>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</si>
  <si>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</si>
  <si>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</si>
  <si>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</si>
  <si>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</si>
  <si>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</si>
  <si>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</si>
  <si>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</si>
  <si>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</si>
  <si>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</si>
  <si>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</si>
  <si>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</si>
  <si>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</si>
  <si>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</si>
  <si>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</si>
  <si>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</si>
  <si>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</si>
  <si>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</si>
  <si>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</si>
  <si>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</si>
  <si>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</si>
  <si>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</si>
  <si>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</si>
  <si>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</si>
  <si>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</si>
  <si>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</si>
  <si>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</si>
  <si>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</si>
  <si>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</si>
  <si>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</si>
  <si>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</si>
  <si>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</si>
  <si>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</si>
  <si>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</si>
  <si>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</si>
  <si>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</si>
  <si>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</si>
  <si>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</si>
  <si>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</si>
  <si>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</si>
  <si>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</si>
  <si>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</si>
  <si>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</si>
  <si>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</si>
  <si>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</si>
  <si>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</si>
  <si>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</si>
  <si>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</si>
  <si>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</si>
  <si>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</si>
  <si>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</si>
  <si>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</si>
  <si>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</si>
  <si>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</si>
  <si>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</si>
  <si>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</si>
  <si>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</si>
  <si>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</si>
  <si>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</si>
  <si>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</si>
  <si>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</si>
  <si>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</si>
  <si>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</si>
  <si>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</si>
  <si>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</si>
  <si>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</si>
  <si>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</si>
  <si>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</si>
  <si>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</si>
  <si>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</si>
  <si>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</si>
  <si>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</si>
  <si>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</si>
  <si>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</si>
  <si>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</si>
  <si>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</si>
  <si>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</si>
  <si>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</si>
  <si>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</si>
  <si>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</si>
  <si>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</si>
  <si>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</si>
  <si>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</si>
  <si>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</si>
  <si>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</si>
  <si>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</si>
  <si>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</si>
  <si>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</si>
  <si>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</si>
  <si>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</si>
  <si>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</si>
  <si>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</si>
  <si>
    <t>MARAJOARA INDUSTRIA DE LATICIN</t>
  </si>
  <si>
    <t>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</si>
</sst>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  <row r="317">
          <cell r="D317">
            <v>4501079532</v>
          </cell>
          <cell r="R317" t="str">
            <v>Não vão emitir</v>
          </cell>
        </row>
        <row r="318">
          <cell r="D318">
            <v>4501169363</v>
          </cell>
          <cell r="R318" t="str">
            <v>Emitir NF</v>
          </cell>
        </row>
        <row r="319">
          <cell r="D319">
            <v>4501169412</v>
          </cell>
          <cell r="R319" t="str">
            <v>Emitir NF</v>
          </cell>
        </row>
        <row r="320">
          <cell r="D320">
            <v>4501169419</v>
          </cell>
          <cell r="R320" t="str">
            <v>Emitir NF</v>
          </cell>
        </row>
        <row r="321">
          <cell r="D321">
            <v>4501169495</v>
          </cell>
          <cell r="R321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99" zoomScaleNormal="100" workbookViewId="0">
      <selection activeCell="K10720" sqref="K10720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lançamentos'!$D$5:$D$321,'[1]Retorno lançamentos'!$R$5:$R$321)</f>
        <v>Emitir NF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1344</v>
      </c>
    </row>
    <row r="10710" spans="1:17" ht="16.8" x14ac:dyDescent="0.3">
      <c r="A10710" t="str">
        <f t="shared" ref="A10710:A10719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19" si="1">_xlfn.XLOOKUP(I10710,I:I,J:J)</f>
        <v>4339 - CD - Teutônia</v>
      </c>
      <c r="K10710" t="str">
        <f t="shared" ref="K10710:K10719" si="2">_xlfn.XLOOKUP(J10710,J:J,K:K)</f>
        <v>14.049.467/0027-70</v>
      </c>
      <c r="L10710" t="str">
        <f>_xlfn.XLOOKUP(B10710,'[1]Retorno lançamentos'!$D$5:$D$321,'[1]Retorno lançamentos'!$R$5:$R$321)</f>
        <v>Emitir NF</v>
      </c>
      <c r="M10710" s="3">
        <v>701122</v>
      </c>
      <c r="N10710" s="3" t="s">
        <v>1120</v>
      </c>
      <c r="O10710" t="str">
        <f t="shared" ref="O10710:O10719" si="3">_xlfn.XLOOKUP(N10710,N:N,O:O)</f>
        <v>Nutri</v>
      </c>
      <c r="P10710">
        <v>2026</v>
      </c>
      <c r="Q10710" s="2" t="s">
        <v>1344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lançamentos'!$D$5:$D$321,'[1]Retorno lançamentos'!$R$5:$R$321)</f>
        <v>Emitir NF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1344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lançamentos'!$D$5:$D$321,'[1]Retorno lançamentos'!$R$5:$R$321)</f>
        <v>Emitir NF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1344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_xlfn.XLOOKUP(B10713,'[1]Retorno lançamentos'!$D$5:$D$321,'[1]Retorno lançamentos'!$R$5:$R$321)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1344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_xlfn.XLOOKUP(B10714,'[1]Retorno lançamentos'!$D$5:$D$321,'[1]Retorno lançamentos'!$R$5:$R$321)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1344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_xlfn.XLOOKUP(B10715,'[1]Retorno lançamentos'!$D$5:$D$321,'[1]Retorno lançamentos'!$R$5:$R$321)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1344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_xlfn.XLOOKUP(B10716,'[1]Retorno lançamentos'!$D$5:$D$321,'[1]Retorno lançamentos'!$R$5:$R$321)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1344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1343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_xlfn.XLOOKUP(B10717,'[1]Retorno lançamentos'!$D$5:$D$321,'[1]Retorno lançamentos'!$R$5:$R$321)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1344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_xlfn.XLOOKUP(B10718,'[1]Retorno lançamentos'!$D$5:$D$321,'[1]Retorno lançamentos'!$R$5:$R$321)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1344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1343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_xlfn.XLOOKUP(B10719,'[1]Retorno lançamentos'!$D$5:$D$321,'[1]Retorno lançamentos'!$R$5:$R$321)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1344</v>
      </c>
    </row>
    <row r="10720" spans="1:17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19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2026-09-09T14:30:53Z</dcterms:modified>
</cp:coreProperties>
</file>